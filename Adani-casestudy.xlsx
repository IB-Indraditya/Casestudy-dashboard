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ndraditya\Downloads\"/>
    </mc:Choice>
  </mc:AlternateContent>
  <xr:revisionPtr revIDLastSave="0" documentId="13_ncr:1_{F2805238-9D71-4730-985F-2D7E2E453055}" xr6:coauthVersionLast="47" xr6:coauthVersionMax="47" xr10:uidLastSave="{00000000-0000-0000-0000-000000000000}"/>
  <bookViews>
    <workbookView xWindow="-108" yWindow="-108" windowWidth="23256" windowHeight="12576" xr2:uid="{3645146E-4D44-48A5-B1E8-A5E5E370BE83}"/>
  </bookViews>
  <sheets>
    <sheet name="Hindenburg Data (Case Study)" sheetId="4" r:id="rId1"/>
    <sheet name="Cash Flow Analysis" sheetId="5" r:id="rId2"/>
    <sheet name="Balance Sheet Analysis" sheetId="6" r:id="rId3"/>
  </sheets>
  <calcPr calcId="191029"/>
  <pivotCaches>
    <pivotCache cacheId="7" r:id="rId4"/>
    <pivotCache cacheId="8" r:id="rId5"/>
  </pivotCaches>
</workbook>
</file>

<file path=xl/calcChain.xml><?xml version="1.0" encoding="utf-8"?>
<calcChain xmlns="http://schemas.openxmlformats.org/spreadsheetml/2006/main">
  <c r="F30" i="4" l="1"/>
  <c r="F31" i="4"/>
  <c r="E30" i="4"/>
  <c r="E31" i="4"/>
  <c r="D30" i="4"/>
  <c r="D31" i="4"/>
  <c r="C30" i="4"/>
  <c r="C31" i="4"/>
  <c r="H1" i="4" a="1"/>
  <c r="H1" i="4" s="1"/>
  <c r="K3" i="4" l="1"/>
  <c r="H4" i="4"/>
  <c r="L4" i="4"/>
  <c r="I5" i="4"/>
  <c r="M5" i="4"/>
  <c r="J6" i="4"/>
  <c r="N6" i="4"/>
  <c r="L1" i="4"/>
  <c r="I2" i="4"/>
  <c r="M2" i="4"/>
  <c r="J3" i="4"/>
  <c r="N3" i="4"/>
  <c r="K4" i="4"/>
  <c r="H5" i="4"/>
  <c r="L5" i="4"/>
  <c r="I6" i="4"/>
  <c r="M6" i="4"/>
  <c r="I1" i="4"/>
  <c r="M1" i="4"/>
  <c r="J2" i="4"/>
  <c r="N2" i="4"/>
  <c r="J1" i="4"/>
  <c r="N1" i="4"/>
  <c r="K2" i="4"/>
  <c r="H3" i="4"/>
  <c r="L3" i="4"/>
  <c r="I4" i="4"/>
  <c r="M4" i="4"/>
  <c r="J5" i="4"/>
  <c r="N5" i="4"/>
  <c r="K6" i="4"/>
  <c r="K1" i="4"/>
  <c r="H2" i="4"/>
  <c r="L2" i="4"/>
  <c r="I3" i="4"/>
  <c r="M3" i="4"/>
  <c r="J4" i="4"/>
  <c r="N4" i="4"/>
  <c r="K5" i="4"/>
  <c r="H6" i="4"/>
  <c r="L6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<sst xmlns="http://schemas.openxmlformats.org/spreadsheetml/2006/main" count="182" uniqueCount="78">
  <si>
    <t>Row Labels</t>
  </si>
  <si>
    <t>Grand Total</t>
  </si>
  <si>
    <t>FFO</t>
  </si>
  <si>
    <t>CAPEX</t>
  </si>
  <si>
    <t>FY21</t>
  </si>
  <si>
    <t>FY22</t>
  </si>
  <si>
    <t>Cash as % of Gross Debt</t>
  </si>
  <si>
    <t>Debt Servicing Coverage (months)</t>
  </si>
  <si>
    <t>FY23</t>
  </si>
  <si>
    <t>FY24</t>
  </si>
  <si>
    <t>FY25</t>
  </si>
  <si>
    <t>1,26,000</t>
  </si>
  <si>
    <t>FY19</t>
  </si>
  <si>
    <t>Gross Assets (₹ Cr)</t>
  </si>
  <si>
    <t>4,84,856</t>
  </si>
  <si>
    <t>6,09,133</t>
  </si>
  <si>
    <t>Net Debt to EBITDA</t>
  </si>
  <si>
    <t>3.8x</t>
  </si>
  <si>
    <t>3.3x</t>
  </si>
  <si>
    <t>2.7x</t>
  </si>
  <si>
    <t>2.6x</t>
  </si>
  <si>
    <t>Return on Assets (ROA)</t>
  </si>
  <si>
    <t>EBITDA from 'AA-' or higher rated assets</t>
  </si>
  <si>
    <t>Cash Balance as % Gross Debt</t>
  </si>
  <si>
    <t>cash Balance as % Gross Debt</t>
  </si>
  <si>
    <t>Cash Flow /FY</t>
  </si>
  <si>
    <t xml:space="preserve">Cash Balance </t>
  </si>
  <si>
    <t>Avg Cost of Debt</t>
  </si>
  <si>
    <t>24,500</t>
  </si>
  <si>
    <t>33,000</t>
  </si>
  <si>
    <t>38,500</t>
  </si>
  <si>
    <t>54915</t>
  </si>
  <si>
    <t>66527</t>
  </si>
  <si>
    <t>38,000</t>
  </si>
  <si>
    <t>62,000</t>
  </si>
  <si>
    <t>75,000</t>
  </si>
  <si>
    <t>98,000</t>
  </si>
  <si>
    <t>28,000</t>
  </si>
  <si>
    <t>31,000</t>
  </si>
  <si>
    <t>28,500</t>
  </si>
  <si>
    <t>44,000</t>
  </si>
  <si>
    <t>53843</t>
  </si>
  <si>
    <t>17%</t>
  </si>
  <si>
    <t>16%</t>
  </si>
  <si>
    <t>15%</t>
  </si>
  <si>
    <t>0.098</t>
  </si>
  <si>
    <t>0.095</t>
  </si>
  <si>
    <t>0.093</t>
  </si>
  <si>
    <t>0.09</t>
  </si>
  <si>
    <t>0.079</t>
  </si>
  <si>
    <t>14</t>
  </si>
  <si>
    <t>15</t>
  </si>
  <si>
    <t>18</t>
  </si>
  <si>
    <t>21</t>
  </si>
  <si>
    <t>Sum of FFO</t>
  </si>
  <si>
    <t xml:space="preserve">Sum of Cash Balance </t>
  </si>
  <si>
    <t>Sum of Cash as % of Gross Debt</t>
  </si>
  <si>
    <t>Sum of Avg Cost of Debt</t>
  </si>
  <si>
    <t>Sum of Debt Servicing Coverage (months)</t>
  </si>
  <si>
    <t>Count of CAPEX</t>
  </si>
  <si>
    <t xml:space="preserve"> </t>
  </si>
  <si>
    <t>185000</t>
  </si>
  <si>
    <t>390000</t>
  </si>
  <si>
    <t>0.12</t>
  </si>
  <si>
    <t>14%</t>
  </si>
  <si>
    <t>15.8%</t>
  </si>
  <si>
    <t>0.165</t>
  </si>
  <si>
    <t>0.48</t>
  </si>
  <si>
    <t>70%</t>
  </si>
  <si>
    <t>85%</t>
  </si>
  <si>
    <t>90%</t>
  </si>
  <si>
    <t>0.185</t>
  </si>
  <si>
    <t>Year</t>
  </si>
  <si>
    <t>Sum of Gross Assets (₹ Cr)</t>
  </si>
  <si>
    <t>Count of Net Debt to EBITDA</t>
  </si>
  <si>
    <t>Sum of Return on Assets (ROA)</t>
  </si>
  <si>
    <t>Sum of EBITDA from 'AA-' or higher rated assets</t>
  </si>
  <si>
    <t>Sum of Cash Balance as % Gross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</si>
</sst>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9.5"/>
      <color rgb="FF888888"/>
      <name val="Arial"/>
      <family val="2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C3E5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8EBEC"/>
        <bgColor indexed="64"/>
      </patternFill>
    </fill>
    <fill>
      <patternFill patternType="solid">
        <fgColor rgb="FFE8F5E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9" fillId="35" borderId="10" xfId="0" applyFont="1" applyFill="1" applyBorder="1" applyAlignment="1">
      <alignment horizontal="left" vertical="center"/>
    </xf>
    <xf numFmtId="0" fontId="19" fillId="37" borderId="10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20" fillId="0" borderId="0" xfId="0" applyFont="1" applyAlignment="1">
      <alignment vertical="center" wrapText="1"/>
    </xf>
    <xf numFmtId="9" fontId="0" fillId="0" borderId="0" xfId="0" applyNumberFormat="1"/>
    <xf numFmtId="9" fontId="19" fillId="37" borderId="10" xfId="0" applyNumberFormat="1" applyFont="1" applyFill="1" applyBorder="1" applyAlignment="1">
      <alignment horizontal="left" vertical="center"/>
    </xf>
    <xf numFmtId="0" fontId="19" fillId="34" borderId="11" xfId="0" applyFont="1" applyFill="1" applyBorder="1" applyAlignment="1">
      <alignment horizontal="left" vertical="center"/>
    </xf>
    <xf numFmtId="0" fontId="19" fillId="36" borderId="11" xfId="0" applyFont="1" applyFill="1" applyBorder="1" applyAlignment="1">
      <alignment horizontal="left" vertical="center"/>
    </xf>
    <xf numFmtId="0" fontId="19" fillId="38" borderId="11" xfId="0" applyFont="1" applyFill="1" applyBorder="1" applyAlignment="1">
      <alignment horizontal="left" vertical="center"/>
    </xf>
    <xf numFmtId="0" fontId="19" fillId="37" borderId="11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horizontal="left" vertical="center"/>
    </xf>
    <xf numFmtId="0" fontId="19" fillId="37" borderId="12" xfId="0" applyFont="1" applyFill="1" applyBorder="1" applyAlignment="1">
      <alignment horizontal="left" vertical="center"/>
    </xf>
    <xf numFmtId="10" fontId="19" fillId="35" borderId="12" xfId="0" applyNumberFormat="1" applyFont="1" applyFill="1" applyBorder="1" applyAlignment="1">
      <alignment horizontal="left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9" fillId="37" borderId="16" xfId="0" applyFont="1" applyFill="1" applyBorder="1" applyAlignment="1">
      <alignment horizontal="left" vertical="center"/>
    </xf>
    <xf numFmtId="0" fontId="19" fillId="35" borderId="12" xfId="0" applyFont="1" applyFill="1" applyBorder="1" applyAlignment="1">
      <alignment horizontal="left" vertical="center"/>
    </xf>
    <xf numFmtId="0" fontId="19" fillId="35" borderId="16" xfId="0" applyFont="1" applyFill="1" applyBorder="1" applyAlignment="1">
      <alignment horizontal="left" vertical="center"/>
    </xf>
    <xf numFmtId="0" fontId="19" fillId="35" borderId="17" xfId="0" applyFont="1" applyFill="1" applyBorder="1" applyAlignment="1">
      <alignment horizontal="left" vertical="center"/>
    </xf>
    <xf numFmtId="10" fontId="19" fillId="35" borderId="18" xfId="0" applyNumberFormat="1" applyFont="1" applyFill="1" applyBorder="1" applyAlignment="1">
      <alignment horizontal="left" vertical="center"/>
    </xf>
    <xf numFmtId="0" fontId="10" fillId="6" borderId="5" xfId="11"/>
    <xf numFmtId="0" fontId="0" fillId="8" borderId="8" xfId="16" applyFont="1"/>
    <xf numFmtId="164" fontId="0" fillId="0" borderId="0" xfId="1" applyFont="1"/>
    <xf numFmtId="164" fontId="0" fillId="0" borderId="0" xfId="0" applyNumberFormat="1"/>
    <xf numFmtId="9" fontId="0" fillId="0" borderId="0" xfId="43" applyFont="1"/>
    <xf numFmtId="3" fontId="19" fillId="35" borderId="10" xfId="0" applyNumberFormat="1" applyFont="1" applyFill="1" applyBorder="1" applyAlignment="1">
      <alignment horizontal="left" vertical="center"/>
    </xf>
    <xf numFmtId="9" fontId="19" fillId="35" borderId="10" xfId="0" applyNumberFormat="1" applyFont="1" applyFill="1" applyBorder="1" applyAlignment="1">
      <alignment horizontal="left" vertical="center"/>
    </xf>
    <xf numFmtId="9" fontId="19" fillId="35" borderId="17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23">
    <dxf>
      <numFmt numFmtId="13" formatCode="0%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8EB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8EB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8EB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8EBEC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8EBEC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2C3E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[supply_chain_dataset1-selected-columns.xlsx]Cash Flow Analysis!PivotTable12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'Cash Flow Analysis'!$A$2:$A$7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'Cash Flow Analysis'!$B$2:$B$7</c:f>
              <c:numCache>
                <c:formatCode>_(* #,##0.00_);_(* \(#,##0.00\);_(* "-"??_);_(@_)</c:formatCode>
                <c:ptCount val="5"/>
                <c:pt idx="0">
                  <c:v>24500</c:v>
                </c:pt>
                <c:pt idx="1">
                  <c:v>33000</c:v>
                </c:pt>
                <c:pt idx="2">
                  <c:v>38500</c:v>
                </c:pt>
                <c:pt idx="3">
                  <c:v>54915</c:v>
                </c:pt>
                <c:pt idx="4">
                  <c:v>66527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C-47EC-B22A-388AFF8E3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2975584"/>
        <c:axId val="1090474640"/>
      </c:barChart>
      <c:catAx>
        <c:axId val="126297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74640"/>
        <c:crosses val="autoZero"/>
        <c:auto val="1"/>
        <c:lblAlgn val="ctr"/>
        <c:lblOffset val="100"/>
        <c:noMultiLvlLbl val="0"/>
      </c:catAx>
      <c:valAx>
        <c:axId val="109047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7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[supply_chain_dataset1-selected-columns.xlsx]Cash Flow Analysis!PivotTable13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'Cash Flow Analysis'!$B$9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E0-442C-BE5A-F0EEA5148D0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E0-442C-BE5A-F0EEA5148D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5E0-442C-BE5A-F0EEA5148D0C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5E0-442C-BE5A-F0EEA5148D0C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5E0-442C-BE5A-F0EEA5148D0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B-A5E0-442C-BE5A-F0EEA5148D0C}"/>
              </c:ext>
            </c:extLst>
          </c:dPt>
          <c:cat>
            <c:strRef>
              <c:f>'Cash Flow Analysis'!$A$10:$A$15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'Cash Flow Analysis'!$B$10:$B$15</c:f>
              <c:numCache>
                <c:formatCode>_(* #,##0.00_);_(* \(#,##0.00\);_(* "-"??_);_(@_)</c:formatCode>
                <c:ptCount val="5"/>
                <c:pt idx="0">
                  <c:v>28000</c:v>
                </c:pt>
                <c:pt idx="1">
                  <c:v>31000</c:v>
                </c:pt>
                <c:pt idx="2">
                  <c:v>28500</c:v>
                </c:pt>
                <c:pt idx="3">
                  <c:v>44000</c:v>
                </c:pt>
                <c:pt idx="4">
                  <c:v>53843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86-4017-85B4-CAB1D52F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273231"/>
        <c:axId val="931274671"/>
      </c:areaChart>
      <c:catAx>
        <c:axId val="931273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74671"/>
        <c:crosses val="autoZero"/>
        <c:auto val="1"/>
        <c:lblAlgn val="ctr"/>
        <c:lblOffset val="100"/>
        <c:noMultiLvlLbl val="0"/>
      </c:catAx>
      <c:valAx>
        <c:axId val="931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273231"/>
        <c:crosses val="autoZero"/>
        <c:crossBetween val="midCat"/>
        <c:majorUnit val="1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[supply_chain_dataset1-selected-columns.xlsx]Cash Flow Analysis!PivotTable14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'Cash Flow Analysis'!$B$18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'Cash Flow Analysis'!$A$19:$A$24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'Cash Flow Analysis'!$B$19:$B$24</c:f>
              <c:numCache>
                <c:formatCode>General</c:formatCode>
                <c:ptCount val="5"/>
                <c:pt idx="0">
                  <c:v>0.17</c:v>
                </c:pt>
                <c:pt idx="1">
                  <c:v>0.16</c:v>
                </c:pt>
                <c:pt idx="2">
                  <c:v>0.15</c:v>
                </c:pt>
                <c:pt idx="3">
                  <c:v>0.17</c:v>
                </c:pt>
                <c:pt idx="4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B-400A-B82D-701E473F3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62969552"/>
        <c:axId val="1009769424"/>
      </c:barChart>
      <c:catAx>
        <c:axId val="126296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69424"/>
        <c:crosses val="autoZero"/>
        <c:auto val="1"/>
        <c:lblAlgn val="ctr"/>
        <c:lblOffset val="100"/>
        <c:noMultiLvlLbl val="0"/>
      </c:catAx>
      <c:valAx>
        <c:axId val="10097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6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[supply_chain_dataset1-selected-columns.xlsx]Cash Flow Analysis!PivotTable15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'Cash Flow Analysis'!$B$26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'Cash Flow Analysis'!$A$27:$A$32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'Cash Flow Analysis'!$B$27:$B$32</c:f>
              <c:numCache>
                <c:formatCode>0.00%</c:formatCode>
                <c:ptCount val="5"/>
                <c:pt idx="0">
                  <c:v>9.8000000000000004E-2</c:v>
                </c:pt>
                <c:pt idx="1">
                  <c:v>9.5000000000000001E-2</c:v>
                </c:pt>
                <c:pt idx="2">
                  <c:v>9.2999999999999999E-2</c:v>
                </c:pt>
                <c:pt idx="3">
                  <c:v>0.09</c:v>
                </c:pt>
                <c:pt idx="4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C-4BE3-8732-160627727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972800"/>
        <c:axId val="1090471760"/>
      </c:areaChart>
      <c:catAx>
        <c:axId val="126297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471760"/>
        <c:crosses val="autoZero"/>
        <c:auto val="1"/>
        <c:lblAlgn val="ctr"/>
        <c:lblOffset val="100"/>
        <c:noMultiLvlLbl val="0"/>
      </c:catAx>
      <c:valAx>
        <c:axId val="10904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97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[supply_chain_dataset1-selected-columns.xlsx]Cash Flow Analysis!PivotTable16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'Cash Flow Analysis'!$B$34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'Cash Flow Analysis'!$A$35:$A$40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'Cash Flow Analysis'!$B$35:$B$40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18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8-454B-A58D-8951093E2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5520048"/>
        <c:axId val="1284429488"/>
      </c:lineChart>
      <c:catAx>
        <c:axId val="126552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29488"/>
        <c:crosses val="autoZero"/>
        <c:auto val="1"/>
        <c:lblAlgn val="ctr"/>
        <c:lblOffset val="100"/>
        <c:noMultiLvlLbl val="0"/>
      </c:catAx>
      <c:valAx>
        <c:axId val="12844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2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[supply_chain_dataset1-selected-columns.xlsx]Cash Flow Analysis!PivotTable18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'Cash Flow Analysis'!$B$42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5C-4414-ACDC-1F5907D6F49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5C-4414-ACDC-1F5907D6F49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A5C-4414-ACDC-1F5907D6F49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A5C-4414-ACDC-1F5907D6F498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A5C-4414-ACDC-1F5907D6F498}"/>
              </c:ext>
            </c:extLst>
          </c:dPt>
          <c:cat>
            <c:strRef>
              <c:f>'Cash Flow Analysis'!$A$43:$A$48</c:f>
              <c:strCache>
                <c:ptCount val="5"/>
                <c:pt idx="0">
                  <c:v>FY21</c:v>
                </c:pt>
                <c:pt idx="1">
                  <c:v>FY22</c:v>
                </c:pt>
                <c:pt idx="2">
                  <c:v>FY23</c:v>
                </c:pt>
                <c:pt idx="3">
                  <c:v>FY24</c:v>
                </c:pt>
                <c:pt idx="4">
                  <c:v>FY25</c:v>
                </c:pt>
              </c:strCache>
            </c:strRef>
          </c:cat>
          <c:val>
            <c:numRef>
              <c:f>'Cash Flow Analysis'!$B$43:$B$48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6-40C0-A3C6-B167DA1D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[supply_chain_dataset1-selected-columns.xlsx]Balance Sheet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'Balance Sheet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'Balance Sheet Analysis'!$A$2:$A$6</c:f>
              <c:strCache>
                <c:ptCount val="4"/>
                <c:pt idx="0">
                  <c:v>FY19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'Balance Sheet Analysis'!$B$2:$B$6</c:f>
              <c:numCache>
                <c:formatCode>General</c:formatCode>
                <c:ptCount val="4"/>
                <c:pt idx="0">
                  <c:v>185000</c:v>
                </c:pt>
                <c:pt idx="1">
                  <c:v>390000</c:v>
                </c:pt>
                <c:pt idx="2">
                  <c:v>484856</c:v>
                </c:pt>
                <c:pt idx="3">
                  <c:v>609133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C-4ADA-8058-622801EB5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697519"/>
        <c:axId val="1692718639"/>
      </c:lineChart>
      <c:catAx>
        <c:axId val="169269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718639"/>
        <c:crosses val="autoZero"/>
        <c:auto val="1"/>
        <c:lblAlgn val="ctr"/>
        <c:lblOffset val="100"/>
        <c:noMultiLvlLbl val="0"/>
      </c:catAx>
      <c:valAx>
        <c:axId val="16927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69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[supply_chain_dataset1-selected-columns.xlsx]Balance Sheet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 Analysis'!$B$8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'Balance Sheet Analysis'!$A$9:$A$13</c:f>
              <c:strCache>
                <c:ptCount val="4"/>
                <c:pt idx="0">
                  <c:v>FY19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'Balance Sheet Analysis'!$B$9:$B$13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4-41DA-AABD-57A5D8750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8526575"/>
        <c:axId val="1688521775"/>
      </c:barChart>
      <c:catAx>
        <c:axId val="168852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21775"/>
        <c:crosses val="autoZero"/>
        <c:auto val="1"/>
        <c:lblAlgn val="ctr"/>
        <c:lblOffset val="100"/>
        <c:noMultiLvlLbl val="0"/>
      </c:catAx>
      <c:valAx>
        <c:axId val="16885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2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[supply_chain_dataset1-selected-columns.xlsx]Balance Sheet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'Balance Sheet Analysis'!$B$15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'Balance Sheet Analysis'!$A$16:$A$20</c:f>
              <c:strCache>
                <c:ptCount val="4"/>
                <c:pt idx="0">
                  <c:v>FY19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'Balance Sheet Analysis'!$B$16:$B$20</c:f>
              <c:numCache>
                <c:formatCode>General</c:formatCode>
                <c:ptCount val="4"/>
                <c:pt idx="0">
                  <c:v>0.12</c:v>
                </c:pt>
                <c:pt idx="1">
                  <c:v>0.14000000000000001</c:v>
                </c:pt>
                <c:pt idx="2">
                  <c:v>0.158</c:v>
                </c:pt>
                <c:pt idx="3">
                  <c:v>0.16500000000000001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E2-4EA1-8278-1AB844E6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51855"/>
        <c:axId val="2080842255"/>
      </c:areaChart>
      <c:catAx>
        <c:axId val="208085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42255"/>
        <c:crosses val="autoZero"/>
        <c:auto val="1"/>
        <c:lblAlgn val="ctr"/>
        <c:lblOffset val="100"/>
        <c:noMultiLvlLbl val="0"/>
      </c:catAx>
      <c:valAx>
        <c:axId val="208084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5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[supply_chain_dataset1-selected-columns.xlsx]Balance Sheet Analysis!PivotTable4</c:name>
    <c:fmtId val="0"/>
  </c:pivotSource>
  <c:chart>
    <c:title>
      <c:layout>
        <c:manualLayout>
          <c:xMode val="edge"/>
          <c:yMode val="edge"/>
          <c:x val="0.4456678200497029"/>
          <c:y val="0.184996406412719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'Balance Sheet Analysis'!$B$22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B8-4BA9-8A34-B6869A1D78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B8-4BA9-8A34-B6869A1D78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B8-4BA9-8A34-B6869A1D78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7B8-4BA9-8A34-B6869A1D78C1}"/>
              </c:ext>
            </c:extLst>
          </c:dPt>
          <c:cat>
            <c:strRef>
              <c:f>'Balance Sheet Analysis'!$A$23:$A$27</c:f>
              <c:strCache>
                <c:ptCount val="4"/>
                <c:pt idx="0">
                  <c:v>FY19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'Balance Sheet Analysis'!$B$23:$B$27</c:f>
              <c:numCache>
                <c:formatCode>General</c:formatCode>
                <c:ptCount val="4"/>
                <c:pt idx="0">
                  <c:v>0.48</c:v>
                </c:pt>
                <c:pt idx="1">
                  <c:v>0.7</c:v>
                </c:pt>
                <c:pt idx="2">
                  <c:v>0.85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1-4991-81F2-7CE04CDBE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[supply_chain_dataset1-selected-columns.xlsx]Balance Sheet Analysis!PivotTable5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'Balance Sheet Analysis'!$B$29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'Balance Sheet Analysis'!$A$30:$A$34</c:f>
              <c:strCache>
                <c:ptCount val="4"/>
                <c:pt idx="0">
                  <c:v>FY19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</c:strCache>
            </c:strRef>
          </c:cat>
          <c:val>
            <c:numRef>
              <c:f>'Balance Sheet Analysis'!$B$30:$B$34</c:f>
              <c:numCache>
                <c:formatCode>General</c:formatCode>
                <c:ptCount val="4"/>
                <c:pt idx="0">
                  <c:v>0.12</c:v>
                </c:pt>
                <c:pt idx="1">
                  <c:v>0.15</c:v>
                </c:pt>
                <c:pt idx="2">
                  <c:v>0.17</c:v>
                </c:pt>
                <c:pt idx="3">
                  <c:v>0.185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7-4963-9557-F31CBF133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88516975"/>
        <c:axId val="1688517455"/>
      </c:barChart>
      <c:catAx>
        <c:axId val="1688516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17455"/>
        <c:crosses val="autoZero"/>
        <c:auto val="1"/>
        <c:lblAlgn val="ctr"/>
        <c:lblOffset val="100"/>
        <c:noMultiLvlLbl val="0"/>
      </c:catAx>
      <c:valAx>
        <c:axId val="1688517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51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202529</xdr:colOff>
      <xdr:row>2</xdr:row>
      <xdr:rowOff>171450</xdr:rowOff>
    </xdr:from>
    <xdr:to>
      <xdr:col>8</xdr:col>
      <xdr:colOff>73362</xdr:colOff>
      <xdr:row>15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1274A8-D885-9F20-62BD-0F7119BE4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630808</xdr:colOff>
      <xdr:row>3</xdr:row>
      <xdr:rowOff>33851</xdr:rowOff>
    </xdr:from>
    <xdr:to>
      <xdr:col>15</xdr:col>
      <xdr:colOff>4503</xdr:colOff>
      <xdr:row>16</xdr:row>
      <xdr:rowOff>31786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828B44-4137-31EB-ADD1-AD4D9228B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149344</xdr:colOff>
      <xdr:row>16</xdr:row>
      <xdr:rowOff>1863</xdr:rowOff>
    </xdr:from>
    <xdr:to>
      <xdr:col>11</xdr:col>
      <xdr:colOff>501401</xdr:colOff>
      <xdr:row>27</xdr:row>
      <xdr:rowOff>170594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BC213A-D944-CB97-4F0E-772B0C68B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574649</xdr:colOff>
      <xdr:row>16</xdr:row>
      <xdr:rowOff>45243</xdr:rowOff>
    </xdr:from>
    <xdr:to>
      <xdr:col>14</xdr:col>
      <xdr:colOff>384534</xdr:colOff>
      <xdr:row>27</xdr:row>
      <xdr:rowOff>161782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42AFB4-B5B7-1B01-4746-C4E6BFFB8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249486</xdr:colOff>
      <xdr:row>16</xdr:row>
      <xdr:rowOff>15922</xdr:rowOff>
    </xdr:from>
    <xdr:to>
      <xdr:col>8</xdr:col>
      <xdr:colOff>24267</xdr:colOff>
      <xdr:row>28</xdr:row>
      <xdr:rowOff>83298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93A481-6CD1-E853-B2FD-C40E37FAA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109705</xdr:colOff>
      <xdr:row>3</xdr:row>
      <xdr:rowOff>1989</xdr:rowOff>
    </xdr:from>
    <xdr:to>
      <xdr:col>11</xdr:col>
      <xdr:colOff>585805</xdr:colOff>
      <xdr:row>15</xdr:row>
      <xdr:rowOff>128844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32A96A-6C62-8007-29CE-9897DDC42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464634</xdr:colOff>
      <xdr:row>0</xdr:row>
      <xdr:rowOff>102220</xdr:rowOff>
    </xdr:from>
    <xdr:to>
      <xdr:col>9</xdr:col>
      <xdr:colOff>130098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895EC9-665B-7B04-F1B2-116AD8379364}"/>
            </a:ext>
          </a:extLst>
        </xdr:cNvPr>
        <xdr:cNvSpPr txBox="1"/>
      </xdr:nvSpPr>
      <xdr:spPr>
        <a:xfrm>
          <a:off x="5482683" y="102220"/>
          <a:ext cx="3252439" cy="269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CASH</a:t>
          </a:r>
          <a:r>
            <a:rPr lang="en-IN" sz="1100" baseline="0"/>
            <a:t> FLOW OF ADANI FROUP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4</xdr:col>
      <xdr:colOff>472440</xdr:colOff>
      <xdr:row>11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99F5E-CA1E-D307-3D5D-21DA725FD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509368</xdr:colOff>
      <xdr:row>0</xdr:row>
      <xdr:rowOff>19539</xdr:rowOff>
    </xdr:from>
    <xdr:to>
      <xdr:col>11</xdr:col>
      <xdr:colOff>23056</xdr:colOff>
      <xdr:row>12</xdr:row>
      <xdr:rowOff>9183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F47F81-C416-2A02-C9C0-CF03CD6E8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48261</xdr:colOff>
      <xdr:row>12</xdr:row>
      <xdr:rowOff>15239</xdr:rowOff>
    </xdr:from>
    <xdr:to>
      <xdr:col>5</xdr:col>
      <xdr:colOff>43377</xdr:colOff>
      <xdr:row>24</xdr:row>
      <xdr:rowOff>91439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1C6DD-952E-C559-10D3-4A04C1EF0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101014</xdr:colOff>
      <xdr:row>12</xdr:row>
      <xdr:rowOff>29502</xdr:rowOff>
    </xdr:from>
    <xdr:to>
      <xdr:col>11</xdr:col>
      <xdr:colOff>116449</xdr:colOff>
      <xdr:row>23</xdr:row>
      <xdr:rowOff>169397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AAEADF-06D5-98CB-C33A-609707378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52167</xdr:colOff>
      <xdr:row>0</xdr:row>
      <xdr:rowOff>0</xdr:rowOff>
    </xdr:from>
    <xdr:to>
      <xdr:col>15</xdr:col>
      <xdr:colOff>128367</xdr:colOff>
      <xdr:row>11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569B4D-31AC-56B6-7B7C-C19FEFA15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am Kundu" refreshedDate="46210.695007175927" createdVersion="8" refreshedVersion="8" minRefreshableVersion="3" recordCount="5" xr:uid="{23CF6CF5-7464-479E-833C-2D80BDED5131}">
  <cacheSource type="worksheet">
    <worksheetSource name="cashflow"/>
  </cacheSource>
  <cacheFields count="7">
    <cacheField name="Cash Flow /FY" numFmtId="0">
      <sharedItems count="5">
        <s v="FY21"/>
        <s v="FY22"/>
        <s v="FY23"/>
        <s v="FY24"/>
        <s v="FY25"/>
      </sharedItems>
    </cacheField>
    <cacheField name="FFO" numFmtId="164">
      <sharedItems containsSemiMixedTypes="0" containsString="0" containsNumber="1" containsInteger="1" minValue="24500" maxValue="66527"/>
    </cacheField>
    <cacheField name="CAPEX" numFmtId="164">
      <sharedItems containsMixedTypes="1" containsNumber="1" containsInteger="1" minValue="38000" maxValue="98000" count="5">
        <n v="38000"/>
        <n v="62000"/>
        <n v="75000"/>
        <n v="98000"/>
        <s v="1,26,000"/>
      </sharedItems>
    </cacheField>
    <cacheField name="Cash Balance " numFmtId="164">
      <sharedItems containsSemiMixedTypes="0" containsString="0" containsNumber="1" containsInteger="1" minValue="28000" maxValue="53843" count="5">
        <n v="28000"/>
        <n v="31000"/>
        <n v="28500"/>
        <n v="44000"/>
        <n v="53843"/>
      </sharedItems>
    </cacheField>
    <cacheField name="Cash as % of Gross Debt" numFmtId="0">
      <sharedItems containsSemiMixedTypes="0" containsString="0" containsNumber="1" minValue="0.15" maxValue="0.185" count="4">
        <n v="0.17"/>
        <n v="0.16"/>
        <n v="0.15"/>
        <n v="0.185"/>
      </sharedItems>
    </cacheField>
    <cacheField name="Avg Cost of Debt" numFmtId="10">
      <sharedItems containsSemiMixedTypes="0" containsString="0" containsNumber="1" minValue="7.9000000000000001E-2" maxValue="9.8000000000000004E-2"/>
    </cacheField>
    <cacheField name="Debt Servicing Coverage (months)" numFmtId="0">
      <sharedItems containsSemiMixedTypes="0" containsString="0" containsNumber="1" containsInteger="1" minValue="14" maxValue="21"/>
    </cacheField>
  </cacheFields>
  <extLst>
    <ext xmlns:x14="http://schemas.microsoft.com/office/spreadsheetml/2009/9/main" uri="{725AE2AE-9491-48be-B2B4-4EB974FC3084}">
      <x14:pivotCacheDefinition pivotCacheId="13760403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draditya" refreshedDate="46211.693188657409" createdVersion="8" refreshedVersion="8" minRefreshableVersion="3" recordCount="4" xr:uid="{75FFE0A1-FF8E-4344-BB6C-80B6300C1E19}">
  <cacheSource type="worksheet">
    <worksheetSource name="Table3"/>
  </cacheSource>
  <cacheFields count="6">
    <cacheField name="Year" numFmtId="0">
      <sharedItems count="4">
        <s v="FY19"/>
        <s v="FY23"/>
        <s v="FY24"/>
        <s v="FY25"/>
      </sharedItems>
    </cacheField>
    <cacheField name="Gross Assets (₹ Cr)" numFmtId="0">
      <sharedItems containsSemiMixedTypes="0" containsString="0" containsNumber="1" containsInteger="1" minValue="185000" maxValue="609133"/>
    </cacheField>
    <cacheField name="Net Debt to EBITDA" numFmtId="0">
      <sharedItems count="4">
        <s v="3.8x"/>
        <s v="3.3x"/>
        <s v="2.7x"/>
        <s v="2.6x"/>
      </sharedItems>
    </cacheField>
    <cacheField name="Return on Assets (ROA)" numFmtId="0">
      <sharedItems containsSemiMixedTypes="0" containsString="0" containsNumber="1" minValue="0.12" maxValue="0.16500000000000001"/>
    </cacheField>
    <cacheField name="EBITDA from 'AA-' or higher rated assets" numFmtId="0">
      <sharedItems containsSemiMixedTypes="0" containsString="0" containsNumber="1" minValue="0.48" maxValue="0.9"/>
    </cacheField>
    <cacheField name="Cash Balance as % Gross Debt" numFmtId="0">
      <sharedItems containsSemiMixedTypes="0" containsString="0" containsNumber="1" minValue="0.12" maxValue="0.1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4500"/>
    <x v="0"/>
    <x v="0"/>
    <x v="0"/>
    <n v="9.8000000000000004E-2"/>
    <n v="14"/>
  </r>
  <r>
    <x v="1"/>
    <n v="33000"/>
    <x v="1"/>
    <x v="1"/>
    <x v="1"/>
    <n v="9.5000000000000001E-2"/>
    <n v="15"/>
  </r>
  <r>
    <x v="2"/>
    <n v="38500"/>
    <x v="2"/>
    <x v="2"/>
    <x v="2"/>
    <n v="9.2999999999999999E-2"/>
    <n v="14"/>
  </r>
  <r>
    <x v="3"/>
    <n v="54915"/>
    <x v="3"/>
    <x v="3"/>
    <x v="0"/>
    <n v="0.09"/>
    <n v="18"/>
  </r>
  <r>
    <x v="4"/>
    <n v="66527"/>
    <x v="4"/>
    <x v="4"/>
    <x v="3"/>
    <n v="7.9000000000000001E-2"/>
    <n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85000"/>
    <x v="0"/>
    <n v="0.12"/>
    <n v="0.48"/>
    <n v="0.12"/>
  </r>
  <r>
    <x v="1"/>
    <n v="390000"/>
    <x v="1"/>
    <n v="0.14000000000000001"/>
    <n v="0.7"/>
    <n v="0.15"/>
  </r>
  <r>
    <x v="2"/>
    <n v="484856"/>
    <x v="2"/>
    <n v="0.158"/>
    <n v="0.85"/>
    <n v="0.17"/>
  </r>
  <r>
    <x v="3"/>
    <n v="609133"/>
    <x v="3"/>
    <n v="0.16500000000000001"/>
    <n v="0.9"/>
    <n v="0.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1B633-8425-4469-9E6F-95D2AA313733}" name="PivotTable1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6:B32" firstHeaderRow="1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/>
    <pivotField numFmtId="164" showAll="0"/>
    <pivotField showAll="0"/>
    <pivotField dataField="1"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vg Cost of Debt" fld="5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D284F-D41C-4DD6-A60F-F3B50DB92A5B}" name="PivotTable1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B24" firstHeaderRow="1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>
      <items count="6">
        <item x="0"/>
        <item x="1"/>
        <item x="2"/>
        <item x="3"/>
        <item x="4"/>
        <item t="default"/>
      </items>
    </pivotField>
    <pivotField numFmtId="164" showAll="0"/>
    <pivotField dataField="1" showAll="0"/>
    <pivotField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sh as % of Gross Deb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BF85E-3C51-45DC-A11F-D1C0C2B786C2}" name="PivotTable1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9:B15" firstHeaderRow="1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>
      <items count="6">
        <item x="0"/>
        <item x="1"/>
        <item x="2"/>
        <item x="3"/>
        <item x="4"/>
        <item t="default"/>
      </items>
    </pivotField>
    <pivotField dataField="1" numFmtId="164" showAll="0"/>
    <pivotField showAll="0"/>
    <pivotField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ash Balance " fld="3" baseField="0" baseItem="0" numFmtId="164"/>
  </dataFields>
  <chartFormats count="1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F6BA-C1DE-4B9B-93DF-1CC9A1642074}" name="PivotTable1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64" showAll="0"/>
    <pivotField showAll="0">
      <items count="6">
        <item x="0"/>
        <item x="1"/>
        <item x="2"/>
        <item x="3"/>
        <item x="4"/>
        <item t="default"/>
      </items>
    </pivotField>
    <pivotField numFmtId="164" showAll="0">
      <items count="6">
        <item x="0"/>
        <item h="1" x="2"/>
        <item h="1" x="1"/>
        <item h="1" x="3"/>
        <item h="1" x="4"/>
        <item t="default"/>
      </items>
    </pivotField>
    <pivotField showAll="0">
      <items count="5">
        <item h="1" x="2"/>
        <item x="1"/>
        <item h="1" x="0"/>
        <item h="1" x="3"/>
        <item t="default"/>
      </items>
    </pivotField>
    <pivotField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FO" fld="1" baseField="0" baseItem="0" numFmtId="164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29679-8003-45E4-A326-77AB7823E85E}" name="PivotTable1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2:B48" firstHeaderRow="1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dataField="1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/>
    <pivotField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APEX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1FFE1-15E9-494C-8DB3-9BEA02EB3118}" name="PivotTable1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4:B40" firstHeaderRow="1" firstDataRow="1" firstDataCol="1"/>
  <pivotFields count="7"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showAll="0"/>
    <pivotField numFmtId="164" showAll="0"/>
    <pivotField showAll="0"/>
    <pivotField numFmtId="10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ebt Servicing Coverage (months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13C80-9390-49CE-9D1C-C1CE2750DAA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B27" firstHeaderRow="1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BITDA from 'AA-' or higher rated assets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DFB8E8-0403-4A77-B8DF-74549646DC3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:B20" firstHeaderRow="1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turn on Assets (ROA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F4F6CF-5895-4947-9B08-4B9AD293ADD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13" firstHeaderRow="1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Net Debt to EBITDA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1EDC9-25DD-4D8B-BE84-4FAD7423CDC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B6" firstHeaderRow="1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 Assets (₹ Cr)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AF2AA-7C0E-467A-B835-7C7B33BE7571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9:B34" firstHeaderRow="1" firstDataRow="1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ash Balance as % Gross Deb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481DAA-DECC-485B-9CFB-E3F7D4DC9416}" name="table1" displayName="table1" ref="A1:F7" totalsRowShown="0" headerRowDxfId="22" dataDxfId="20" headerRowBorderDxfId="21" tableBorderDxfId="19" totalsRowBorderDxfId="18">
  <autoFilter ref="A1:F7" xr:uid="{E7481DAA-DECC-485B-9CFB-E3F7D4DC9416}"/>
  <tableColumns count="6">
    <tableColumn id="1" xr3:uid="{B8E2F9A1-2CC2-4079-B7EF-02C0CCEEA5D6}" name="Cash Flow /FY"/>
    <tableColumn id="2" xr3:uid="{240736A8-46A7-405E-B4C2-CF13418C6A3D}" name="FY21" dataDxfId="17"/>
    <tableColumn id="3" xr3:uid="{7224DB2A-2531-42B9-BF43-05E2656DDC5B}" name="FY22" dataDxfId="16"/>
    <tableColumn id="4" xr3:uid="{31FF6A68-6AC0-45D7-AC34-7684FAA23688}" name="FY23" dataDxfId="15"/>
    <tableColumn id="5" xr3:uid="{76B92D43-DD18-4911-98FD-56BE75A65634}" name="FY24" dataDxfId="14"/>
    <tableColumn id="6" xr3:uid="{9DFF33F3-2F1D-4E7A-AC7E-B72DA4B99849}" name="FY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C5F625-1F2A-40B0-A59D-5C5CD55FBA16}" name="Table4" displayName="Table4" ref="A17:E22" totalsRowShown="0" headerRowDxfId="13" dataDxfId="11" headerRowBorderDxfId="12" tableBorderDxfId="10" totalsRowBorderDxfId="9">
  <autoFilter ref="A17:E22" xr:uid="{EFC5F625-1F2A-40B0-A59D-5C5CD55FBA16}"/>
  <tableColumns count="5">
    <tableColumn id="1" xr3:uid="{5D4C79EE-DEF2-43C8-924F-1D48D4F6E5DB}" name="cash Balance as % Gross Debt" dataDxfId="8"/>
    <tableColumn id="2" xr3:uid="{9D97FC9B-94AE-4AD1-B20C-70328E611F27}" name="FY19" dataDxfId="7"/>
    <tableColumn id="3" xr3:uid="{AB5D67A9-F186-469B-976B-47FC18DA3B69}" name="FY23" dataDxfId="6"/>
    <tableColumn id="4" xr3:uid="{C66CEDFB-9ECD-4472-8835-107441819ECE}" name="FY24" dataDxfId="5"/>
    <tableColumn id="5" xr3:uid="{B3E0C16F-3DB0-4BB6-9348-F2207290A279}" name="FY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8B5E52-7ECA-448D-942D-0BFC039A9896}" name="cashflow" displayName="cashflow" ref="H8:N13" totalsRowShown="0">
  <autoFilter ref="H8:N13" xr:uid="{D38B5E52-7ECA-448D-942D-0BFC039A9896}"/>
  <tableColumns count="7">
    <tableColumn id="1" xr3:uid="{31B23919-9454-409E-964E-599B15D2BC65}" name="Cash Flow /FY"/>
    <tableColumn id="2" xr3:uid="{C3028092-2964-496C-B2D1-FA44E4237A20}" name="FFO" dataCellStyle="Comma"/>
    <tableColumn id="3" xr3:uid="{8B8DBDCE-C998-4885-86DF-DEB812165270}" name="CAPEX" dataCellStyle="Comma"/>
    <tableColumn id="4" xr3:uid="{46563379-A422-431C-B9E7-334A965FC360}" name="Cash Balance " dataCellStyle="Comma"/>
    <tableColumn id="5" xr3:uid="{0DC7A358-9E4B-43C1-A230-2FECD841F65E}" name="Cash as % of Gross Debt"/>
    <tableColumn id="6" xr3:uid="{CCE909DB-AAB9-4E4E-A5AD-37B1AC6B4300}" name="Avg Cost of Debt" dataDxfId="4"/>
    <tableColumn id="7" xr3:uid="{369F691B-BD9A-4799-90A2-F47C5882AC79}" name="Debt Servicing Coverage (month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4010F-C30E-45EF-A01B-C49AAE80120E}" name="Table3" displayName="Table3" ref="H17:M21" totalsRowShown="0" headerRowDxfId="3">
  <autoFilter ref="H17:M21" xr:uid="{A194010F-C30E-45EF-A01B-C49AAE80120E}"/>
  <tableColumns count="6">
    <tableColumn id="1" xr3:uid="{CF1BB3AB-B3A4-47BD-BDF5-104185F14C3C}" name="Year" dataDxfId="2"/>
    <tableColumn id="2" xr3:uid="{F9CB11D5-293F-46C6-87A3-2A0F6D846B0D}" name="Gross Assets (₹ Cr)"/>
    <tableColumn id="3" xr3:uid="{E6508414-A2AE-46A8-B1A9-556A3AF8A74C}" name="Net Debt to EBITDA" dataDxfId="1"/>
    <tableColumn id="4" xr3:uid="{8B2E431D-9E2F-4FA2-8F3E-2508A0E0BB6F}" name="Return on Assets (ROA)"/>
    <tableColumn id="5" xr3:uid="{6CA9AF04-814D-461D-B3EF-D80BBEFA89CB}" name="EBITDA from 'AA-' or higher rated assets" dataDxfId="0"/>
    <tableColumn id="6" xr3:uid="{26F03137-E3D9-4127-A9BC-11EFD12B7E16}" name="Cash Balance as % Gross Deb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34CF-B298-46B7-A023-695602232AA6}">
  <dimension ref="A1:N31"/>
  <sheetViews>
    <sheetView tabSelected="1" topLeftCell="B1" zoomScaleNormal="100" workbookViewId="0">
      <selection activeCell="J28" sqref="J28"/>
    </sheetView>
  </sheetViews>
  <sheetFormatPr defaultRowHeight="14.4" x14ac:dyDescent="0.3"/>
  <cols>
    <col min="1" max="1" width="29.33203125" bestFit="1" customWidth="1"/>
    <col min="2" max="6" width="9.6640625" bestFit="1" customWidth="1"/>
    <col min="8" max="8" width="9.109375" bestFit="1" customWidth="1"/>
    <col min="9" max="9" width="16.33203125" bestFit="1" customWidth="1"/>
    <col min="10" max="10" width="17.44140625" bestFit="1" customWidth="1"/>
    <col min="11" max="11" width="20.6640625" bestFit="1" customWidth="1"/>
    <col min="12" max="12" width="35.109375" bestFit="1" customWidth="1"/>
    <col min="13" max="13" width="26" bestFit="1" customWidth="1"/>
    <col min="14" max="14" width="32.33203125" bestFit="1" customWidth="1"/>
  </cols>
  <sheetData>
    <row r="1" spans="1:14" x14ac:dyDescent="0.3">
      <c r="A1" s="17" t="s">
        <v>25</v>
      </c>
      <c r="B1" s="18" t="s">
        <v>4</v>
      </c>
      <c r="C1" s="18" t="s">
        <v>5</v>
      </c>
      <c r="D1" s="18" t="s">
        <v>8</v>
      </c>
      <c r="E1" s="18" t="s">
        <v>9</v>
      </c>
      <c r="F1" s="19" t="s">
        <v>10</v>
      </c>
      <c r="H1" s="25" t="str" cm="1">
        <f t="array" ref="H1:N6">TRANSPOSE(table1[#All])</f>
        <v>Cash Flow /FY</v>
      </c>
      <c r="I1" s="25" t="str">
        <v>FFO</v>
      </c>
      <c r="J1" s="25" t="str">
        <v>CAPEX</v>
      </c>
      <c r="K1" s="25" t="str">
        <v xml:space="preserve">Cash Balance </v>
      </c>
      <c r="L1" s="25" t="str">
        <v>Cash as % of Gross Debt</v>
      </c>
      <c r="M1" s="25" t="str">
        <v>Avg Cost of Debt</v>
      </c>
      <c r="N1" s="25" t="str">
        <v>Debt Servicing Coverage (months)</v>
      </c>
    </row>
    <row r="2" spans="1:14" x14ac:dyDescent="0.3">
      <c r="A2" s="10" t="s">
        <v>2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s="26" t="str">
        <v>FY21</v>
      </c>
      <c r="I2" s="26" t="str">
        <v>24,500</v>
      </c>
      <c r="J2" s="26" t="str">
        <v>38,000</v>
      </c>
      <c r="K2" s="26" t="str">
        <v>28,000</v>
      </c>
      <c r="L2" s="26" t="str">
        <v>17%</v>
      </c>
      <c r="M2" s="26" t="str">
        <v>0.098</v>
      </c>
      <c r="N2" s="26" t="str">
        <v>14</v>
      </c>
    </row>
    <row r="3" spans="1:14" x14ac:dyDescent="0.3">
      <c r="A3" s="11" t="s">
        <v>3</v>
      </c>
      <c r="B3" t="s">
        <v>33</v>
      </c>
      <c r="C3" t="s">
        <v>34</v>
      </c>
      <c r="D3" t="s">
        <v>35</v>
      </c>
      <c r="E3" t="s">
        <v>36</v>
      </c>
      <c r="F3" t="s">
        <v>11</v>
      </c>
      <c r="H3" s="26" t="str">
        <v>FY22</v>
      </c>
      <c r="I3" s="26" t="str">
        <v>33,000</v>
      </c>
      <c r="J3" s="26" t="str">
        <v>62,000</v>
      </c>
      <c r="K3" s="26" t="str">
        <v>31,000</v>
      </c>
      <c r="L3" s="26" t="str">
        <v>16%</v>
      </c>
      <c r="M3" s="26" t="str">
        <v>0.095</v>
      </c>
      <c r="N3" s="26" t="str">
        <v>15</v>
      </c>
    </row>
    <row r="4" spans="1:14" x14ac:dyDescent="0.3">
      <c r="A4" s="12" t="s">
        <v>26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H4" s="26" t="str">
        <v>FY23</v>
      </c>
      <c r="I4" s="26" t="str">
        <v>38,500</v>
      </c>
      <c r="J4" s="26" t="str">
        <v>75,000</v>
      </c>
      <c r="K4" s="26" t="str">
        <v>28,500</v>
      </c>
      <c r="L4" s="26" t="str">
        <v>15%</v>
      </c>
      <c r="M4" s="26" t="str">
        <v>0.093</v>
      </c>
      <c r="N4" s="26" t="str">
        <v>14</v>
      </c>
    </row>
    <row r="5" spans="1:14" x14ac:dyDescent="0.3">
      <c r="A5" s="13" t="s">
        <v>6</v>
      </c>
      <c r="B5" t="s">
        <v>42</v>
      </c>
      <c r="C5" t="s">
        <v>43</v>
      </c>
      <c r="D5" t="s">
        <v>44</v>
      </c>
      <c r="E5" t="s">
        <v>42</v>
      </c>
      <c r="F5" s="3">
        <v>0.185</v>
      </c>
      <c r="H5" s="26" t="str">
        <v>FY24</v>
      </c>
      <c r="I5" s="26" t="str">
        <v>54915</v>
      </c>
      <c r="J5" s="26" t="str">
        <v>98,000</v>
      </c>
      <c r="K5" s="26" t="str">
        <v>44,000</v>
      </c>
      <c r="L5" s="26" t="str">
        <v>17%</v>
      </c>
      <c r="M5" s="26" t="str">
        <v>0.09</v>
      </c>
      <c r="N5" s="26" t="str">
        <v>18</v>
      </c>
    </row>
    <row r="6" spans="1:14" x14ac:dyDescent="0.3">
      <c r="A6" s="14" t="s">
        <v>27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H6" s="26" t="str">
        <v>FY25</v>
      </c>
      <c r="I6" s="26" t="str">
        <v>66527</v>
      </c>
      <c r="J6" s="26" t="str">
        <v>1,26,000</v>
      </c>
      <c r="K6" s="26" t="str">
        <v>53843</v>
      </c>
      <c r="L6" s="26">
        <v>0.185</v>
      </c>
      <c r="M6" s="26" t="str">
        <v>0.079</v>
      </c>
      <c r="N6" s="26" t="str">
        <v>21</v>
      </c>
    </row>
    <row r="7" spans="1:14" x14ac:dyDescent="0.3">
      <c r="A7" s="20" t="s">
        <v>7</v>
      </c>
      <c r="B7" t="s">
        <v>50</v>
      </c>
      <c r="C7" t="s">
        <v>51</v>
      </c>
      <c r="D7" t="s">
        <v>50</v>
      </c>
      <c r="E7" t="s">
        <v>52</v>
      </c>
      <c r="F7" t="s">
        <v>53</v>
      </c>
    </row>
    <row r="8" spans="1:14" x14ac:dyDescent="0.3">
      <c r="A8" s="6"/>
      <c r="B8" s="6"/>
      <c r="C8" s="6"/>
      <c r="D8" s="6"/>
      <c r="E8" s="6"/>
      <c r="F8" s="6"/>
      <c r="H8" t="s">
        <v>25</v>
      </c>
      <c r="I8" t="s">
        <v>2</v>
      </c>
      <c r="J8" t="s">
        <v>3</v>
      </c>
      <c r="K8" t="s">
        <v>26</v>
      </c>
      <c r="L8" t="s">
        <v>6</v>
      </c>
      <c r="M8" t="s">
        <v>27</v>
      </c>
      <c r="N8" t="s">
        <v>7</v>
      </c>
    </row>
    <row r="9" spans="1:14" x14ac:dyDescent="0.3">
      <c r="A9" s="7"/>
      <c r="B9" s="6"/>
      <c r="C9" s="6"/>
      <c r="D9" s="6"/>
      <c r="E9" s="6"/>
      <c r="F9" s="6"/>
      <c r="H9" t="s">
        <v>4</v>
      </c>
      <c r="I9" s="27">
        <v>24500</v>
      </c>
      <c r="J9" s="27">
        <v>38000</v>
      </c>
      <c r="K9" s="27">
        <v>28000</v>
      </c>
      <c r="L9" s="8">
        <v>0.17</v>
      </c>
      <c r="M9" s="3">
        <v>9.8000000000000004E-2</v>
      </c>
      <c r="N9">
        <v>14</v>
      </c>
    </row>
    <row r="10" spans="1:14" x14ac:dyDescent="0.3">
      <c r="H10" t="s">
        <v>5</v>
      </c>
      <c r="I10" s="27">
        <v>33000</v>
      </c>
      <c r="J10" s="27">
        <v>62000</v>
      </c>
      <c r="K10" s="27">
        <v>31000</v>
      </c>
      <c r="L10" s="8">
        <v>0.16</v>
      </c>
      <c r="M10" s="3">
        <v>9.5000000000000001E-2</v>
      </c>
      <c r="N10">
        <v>15</v>
      </c>
    </row>
    <row r="11" spans="1:14" x14ac:dyDescent="0.3">
      <c r="H11" t="s">
        <v>8</v>
      </c>
      <c r="I11" s="27">
        <v>38500</v>
      </c>
      <c r="J11" s="27">
        <v>75000</v>
      </c>
      <c r="K11" s="27">
        <v>28500</v>
      </c>
      <c r="L11" s="8">
        <v>0.15</v>
      </c>
      <c r="M11" s="3">
        <v>9.2999999999999999E-2</v>
      </c>
      <c r="N11">
        <v>14</v>
      </c>
    </row>
    <row r="12" spans="1:14" x14ac:dyDescent="0.3">
      <c r="H12" t="s">
        <v>9</v>
      </c>
      <c r="I12" s="27">
        <v>54915</v>
      </c>
      <c r="J12" s="27">
        <v>98000</v>
      </c>
      <c r="K12" s="27">
        <v>44000</v>
      </c>
      <c r="L12" s="8">
        <v>0.17</v>
      </c>
      <c r="M12" s="3">
        <v>0.09</v>
      </c>
      <c r="N12">
        <v>18</v>
      </c>
    </row>
    <row r="13" spans="1:14" x14ac:dyDescent="0.3">
      <c r="H13" t="s">
        <v>10</v>
      </c>
      <c r="I13" s="27">
        <v>66527</v>
      </c>
      <c r="J13" s="27" t="s">
        <v>11</v>
      </c>
      <c r="K13" s="27">
        <v>53843</v>
      </c>
      <c r="L13" s="3">
        <v>0.185</v>
      </c>
      <c r="M13" s="3">
        <v>7.9000000000000001E-2</v>
      </c>
      <c r="N13">
        <v>21</v>
      </c>
    </row>
    <row r="17" spans="1:13" x14ac:dyDescent="0.3">
      <c r="A17" s="17" t="s">
        <v>24</v>
      </c>
      <c r="B17" s="18" t="s">
        <v>12</v>
      </c>
      <c r="C17" s="18" t="s">
        <v>8</v>
      </c>
      <c r="D17" s="18" t="s">
        <v>9</v>
      </c>
      <c r="E17" s="19" t="s">
        <v>10</v>
      </c>
      <c r="H17" s="33" t="s">
        <v>72</v>
      </c>
      <c r="I17" s="34" t="s">
        <v>13</v>
      </c>
      <c r="J17" s="34" t="s">
        <v>16</v>
      </c>
      <c r="K17" s="34" t="s">
        <v>21</v>
      </c>
      <c r="L17" s="34" t="s">
        <v>22</v>
      </c>
      <c r="M17" s="34" t="s">
        <v>23</v>
      </c>
    </row>
    <row r="18" spans="1:13" x14ac:dyDescent="0.3">
      <c r="A18" s="14" t="s">
        <v>13</v>
      </c>
      <c r="B18" s="30" t="s">
        <v>61</v>
      </c>
      <c r="C18" s="30" t="s">
        <v>62</v>
      </c>
      <c r="D18" s="4" t="s">
        <v>14</v>
      </c>
      <c r="E18" s="21" t="s">
        <v>15</v>
      </c>
      <c r="H18" s="35" t="s">
        <v>12</v>
      </c>
      <c r="I18" s="36">
        <v>185000</v>
      </c>
      <c r="J18" s="36" t="s">
        <v>17</v>
      </c>
      <c r="K18" s="36">
        <v>0.12</v>
      </c>
      <c r="L18" s="36">
        <v>0.48</v>
      </c>
      <c r="M18" s="36">
        <v>0.12</v>
      </c>
    </row>
    <row r="19" spans="1:13" x14ac:dyDescent="0.3">
      <c r="A19" s="13" t="s">
        <v>16</v>
      </c>
      <c r="B19" s="5" t="s">
        <v>17</v>
      </c>
      <c r="C19" s="5" t="s">
        <v>18</v>
      </c>
      <c r="D19" s="5" t="s">
        <v>19</v>
      </c>
      <c r="E19" s="15" t="s">
        <v>20</v>
      </c>
      <c r="H19" s="35" t="s">
        <v>8</v>
      </c>
      <c r="I19" s="36">
        <v>390000</v>
      </c>
      <c r="J19" s="36" t="s">
        <v>18</v>
      </c>
      <c r="K19" s="37">
        <v>0.14000000000000001</v>
      </c>
      <c r="L19" s="37">
        <v>0.7</v>
      </c>
      <c r="M19" s="37">
        <v>0.15</v>
      </c>
    </row>
    <row r="20" spans="1:13" x14ac:dyDescent="0.3">
      <c r="A20" s="14" t="s">
        <v>21</v>
      </c>
      <c r="B20" s="31" t="s">
        <v>63</v>
      </c>
      <c r="C20" s="4" t="s">
        <v>64</v>
      </c>
      <c r="D20" s="4" t="s">
        <v>65</v>
      </c>
      <c r="E20" s="16" t="s">
        <v>66</v>
      </c>
      <c r="H20" s="35" t="s">
        <v>9</v>
      </c>
      <c r="I20" s="38">
        <v>484856</v>
      </c>
      <c r="J20" s="36" t="s">
        <v>19</v>
      </c>
      <c r="K20" s="39">
        <v>0.158</v>
      </c>
      <c r="L20" s="37">
        <v>0.85</v>
      </c>
      <c r="M20" s="37">
        <v>0.17</v>
      </c>
    </row>
    <row r="21" spans="1:13" x14ac:dyDescent="0.3">
      <c r="A21" s="13" t="s">
        <v>22</v>
      </c>
      <c r="B21" s="9" t="s">
        <v>67</v>
      </c>
      <c r="C21" s="5" t="s">
        <v>68</v>
      </c>
      <c r="D21" s="5" t="s">
        <v>69</v>
      </c>
      <c r="E21" s="15" t="s">
        <v>70</v>
      </c>
      <c r="H21" s="35" t="s">
        <v>10</v>
      </c>
      <c r="I21" s="38">
        <v>609133</v>
      </c>
      <c r="J21" s="36" t="s">
        <v>20</v>
      </c>
      <c r="K21" s="36">
        <v>0.16500000000000001</v>
      </c>
      <c r="L21" s="37">
        <v>0.9</v>
      </c>
      <c r="M21" s="36">
        <v>0.185</v>
      </c>
    </row>
    <row r="22" spans="1:13" x14ac:dyDescent="0.3">
      <c r="A22" s="22" t="s">
        <v>23</v>
      </c>
      <c r="B22" s="32" t="s">
        <v>63</v>
      </c>
      <c r="C22" s="23" t="s">
        <v>44</v>
      </c>
      <c r="D22" s="23" t="s">
        <v>42</v>
      </c>
      <c r="E22" s="24" t="s">
        <v>71</v>
      </c>
    </row>
    <row r="30" spans="1:13" x14ac:dyDescent="0.3">
      <c r="C30" t="str">
        <f t="shared" ref="C30:F31" si="0">SUBSTITUTE(B23,"~","")</f>
        <v/>
      </c>
      <c r="D30" t="str">
        <f t="shared" si="0"/>
        <v/>
      </c>
      <c r="E30" t="str">
        <f t="shared" si="0"/>
        <v/>
      </c>
      <c r="F30" t="str">
        <f t="shared" si="0"/>
        <v/>
      </c>
    </row>
    <row r="31" spans="1:13" x14ac:dyDescent="0.3">
      <c r="C31" t="str">
        <f t="shared" si="0"/>
        <v/>
      </c>
      <c r="D31" t="str">
        <f t="shared" si="0"/>
        <v/>
      </c>
      <c r="E31" t="str">
        <f t="shared" si="0"/>
        <v/>
      </c>
      <c r="F31" t="str">
        <f t="shared" si="0"/>
        <v/>
      </c>
    </row>
  </sheetData>
  <phoneticPr fontId="21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5074-8897-4F3B-9A19-F79268FE5830}">
  <dimension ref="A1:O48"/>
  <sheetViews>
    <sheetView zoomScale="82" zoomScaleNormal="82" workbookViewId="0">
      <selection activeCell="H33" sqref="H33"/>
    </sheetView>
  </sheetViews>
  <sheetFormatPr defaultRowHeight="14.4" x14ac:dyDescent="0.3"/>
  <cols>
    <col min="1" max="1" width="13" bestFit="1" customWidth="1"/>
    <col min="2" max="2" width="36.6640625" bestFit="1" customWidth="1"/>
    <col min="3" max="3" width="19.109375" bestFit="1" customWidth="1"/>
    <col min="4" max="4" width="12.77734375" customWidth="1"/>
    <col min="5" max="5" width="14.44140625" bestFit="1" customWidth="1"/>
    <col min="8" max="8" width="12.5546875" bestFit="1" customWidth="1"/>
    <col min="9" max="9" width="21.77734375" bestFit="1" customWidth="1"/>
    <col min="10" max="10" width="19.109375" bestFit="1" customWidth="1"/>
    <col min="12" max="12" width="12.5546875" bestFit="1" customWidth="1"/>
    <col min="13" max="13" width="36.6640625" bestFit="1" customWidth="1"/>
  </cols>
  <sheetData>
    <row r="1" spans="1:2" x14ac:dyDescent="0.3">
      <c r="A1" s="1" t="s">
        <v>0</v>
      </c>
      <c r="B1" t="s">
        <v>54</v>
      </c>
    </row>
    <row r="2" spans="1:2" x14ac:dyDescent="0.3">
      <c r="A2" s="2" t="s">
        <v>4</v>
      </c>
      <c r="B2" s="28">
        <v>24500</v>
      </c>
    </row>
    <row r="3" spans="1:2" x14ac:dyDescent="0.3">
      <c r="A3" s="2" t="s">
        <v>5</v>
      </c>
      <c r="B3" s="28">
        <v>33000</v>
      </c>
    </row>
    <row r="4" spans="1:2" x14ac:dyDescent="0.3">
      <c r="A4" s="2" t="s">
        <v>8</v>
      </c>
      <c r="B4" s="28">
        <v>38500</v>
      </c>
    </row>
    <row r="5" spans="1:2" x14ac:dyDescent="0.3">
      <c r="A5" s="2" t="s">
        <v>9</v>
      </c>
      <c r="B5" s="28">
        <v>54915</v>
      </c>
    </row>
    <row r="6" spans="1:2" x14ac:dyDescent="0.3">
      <c r="A6" s="2" t="s">
        <v>10</v>
      </c>
      <c r="B6" s="28">
        <v>66527</v>
      </c>
    </row>
    <row r="7" spans="1:2" x14ac:dyDescent="0.3">
      <c r="A7" s="2" t="s">
        <v>1</v>
      </c>
      <c r="B7" s="28">
        <v>217442</v>
      </c>
    </row>
    <row r="9" spans="1:2" x14ac:dyDescent="0.3">
      <c r="A9" s="1" t="s">
        <v>0</v>
      </c>
      <c r="B9" t="s">
        <v>55</v>
      </c>
    </row>
    <row r="10" spans="1:2" x14ac:dyDescent="0.3">
      <c r="A10" s="2" t="s">
        <v>4</v>
      </c>
      <c r="B10" s="28">
        <v>28000</v>
      </c>
    </row>
    <row r="11" spans="1:2" x14ac:dyDescent="0.3">
      <c r="A11" s="2" t="s">
        <v>5</v>
      </c>
      <c r="B11" s="28">
        <v>31000</v>
      </c>
    </row>
    <row r="12" spans="1:2" x14ac:dyDescent="0.3">
      <c r="A12" s="2" t="s">
        <v>8</v>
      </c>
      <c r="B12" s="28">
        <v>28500</v>
      </c>
    </row>
    <row r="13" spans="1:2" x14ac:dyDescent="0.3">
      <c r="A13" s="2" t="s">
        <v>9</v>
      </c>
      <c r="B13" s="28">
        <v>44000</v>
      </c>
    </row>
    <row r="14" spans="1:2" x14ac:dyDescent="0.3">
      <c r="A14" s="2" t="s">
        <v>10</v>
      </c>
      <c r="B14" s="28">
        <v>53843</v>
      </c>
    </row>
    <row r="15" spans="1:2" x14ac:dyDescent="0.3">
      <c r="A15" s="2" t="s">
        <v>1</v>
      </c>
      <c r="B15" s="28">
        <v>185343</v>
      </c>
    </row>
    <row r="18" spans="1:15" x14ac:dyDescent="0.3">
      <c r="A18" s="1" t="s">
        <v>0</v>
      </c>
      <c r="B18" t="s">
        <v>56</v>
      </c>
    </row>
    <row r="19" spans="1:15" x14ac:dyDescent="0.3">
      <c r="A19" s="2" t="s">
        <v>4</v>
      </c>
      <c r="B19">
        <v>0.17</v>
      </c>
    </row>
    <row r="20" spans="1:15" x14ac:dyDescent="0.3">
      <c r="A20" s="2" t="s">
        <v>5</v>
      </c>
      <c r="B20">
        <v>0.16</v>
      </c>
    </row>
    <row r="21" spans="1:15" x14ac:dyDescent="0.3">
      <c r="A21" s="2" t="s">
        <v>8</v>
      </c>
      <c r="B21">
        <v>0.15</v>
      </c>
    </row>
    <row r="22" spans="1:15" x14ac:dyDescent="0.3">
      <c r="A22" s="2" t="s">
        <v>9</v>
      </c>
      <c r="B22">
        <v>0.17</v>
      </c>
      <c r="H22" t="s">
        <v>60</v>
      </c>
    </row>
    <row r="23" spans="1:15" x14ac:dyDescent="0.3">
      <c r="A23" s="2" t="s">
        <v>10</v>
      </c>
      <c r="B23">
        <v>0.185</v>
      </c>
    </row>
    <row r="24" spans="1:15" x14ac:dyDescent="0.3">
      <c r="A24" s="2" t="s">
        <v>1</v>
      </c>
      <c r="B24">
        <v>0.83499999999999996</v>
      </c>
      <c r="O24" s="29"/>
    </row>
    <row r="26" spans="1:15" x14ac:dyDescent="0.3">
      <c r="A26" s="1" t="s">
        <v>0</v>
      </c>
      <c r="B26" t="s">
        <v>57</v>
      </c>
    </row>
    <row r="27" spans="1:15" x14ac:dyDescent="0.3">
      <c r="A27" s="2" t="s">
        <v>4</v>
      </c>
      <c r="B27" s="3">
        <v>9.8000000000000004E-2</v>
      </c>
    </row>
    <row r="28" spans="1:15" x14ac:dyDescent="0.3">
      <c r="A28" s="2" t="s">
        <v>5</v>
      </c>
      <c r="B28" s="3">
        <v>9.5000000000000001E-2</v>
      </c>
    </row>
    <row r="29" spans="1:15" x14ac:dyDescent="0.3">
      <c r="A29" s="2" t="s">
        <v>8</v>
      </c>
      <c r="B29" s="3">
        <v>9.2999999999999999E-2</v>
      </c>
    </row>
    <row r="30" spans="1:15" x14ac:dyDescent="0.3">
      <c r="A30" s="2" t="s">
        <v>9</v>
      </c>
      <c r="B30" s="3">
        <v>0.09</v>
      </c>
    </row>
    <row r="31" spans="1:15" x14ac:dyDescent="0.3">
      <c r="A31" s="2" t="s">
        <v>10</v>
      </c>
      <c r="B31" s="3">
        <v>7.9000000000000001E-2</v>
      </c>
    </row>
    <row r="32" spans="1:15" x14ac:dyDescent="0.3">
      <c r="A32" s="2" t="s">
        <v>1</v>
      </c>
      <c r="B32" s="3">
        <v>0.45500000000000002</v>
      </c>
    </row>
    <row r="34" spans="1:2" x14ac:dyDescent="0.3">
      <c r="A34" s="1" t="s">
        <v>0</v>
      </c>
      <c r="B34" t="s">
        <v>58</v>
      </c>
    </row>
    <row r="35" spans="1:2" x14ac:dyDescent="0.3">
      <c r="A35" s="2" t="s">
        <v>4</v>
      </c>
      <c r="B35">
        <v>14</v>
      </c>
    </row>
    <row r="36" spans="1:2" x14ac:dyDescent="0.3">
      <c r="A36" s="2" t="s">
        <v>5</v>
      </c>
      <c r="B36">
        <v>15</v>
      </c>
    </row>
    <row r="37" spans="1:2" x14ac:dyDescent="0.3">
      <c r="A37" s="2" t="s">
        <v>8</v>
      </c>
      <c r="B37">
        <v>14</v>
      </c>
    </row>
    <row r="38" spans="1:2" x14ac:dyDescent="0.3">
      <c r="A38" s="2" t="s">
        <v>9</v>
      </c>
      <c r="B38">
        <v>18</v>
      </c>
    </row>
    <row r="39" spans="1:2" x14ac:dyDescent="0.3">
      <c r="A39" s="2" t="s">
        <v>10</v>
      </c>
      <c r="B39">
        <v>21</v>
      </c>
    </row>
    <row r="40" spans="1:2" x14ac:dyDescent="0.3">
      <c r="A40" s="2" t="s">
        <v>1</v>
      </c>
      <c r="B40">
        <v>82</v>
      </c>
    </row>
    <row r="42" spans="1:2" x14ac:dyDescent="0.3">
      <c r="A42" s="1" t="s">
        <v>0</v>
      </c>
      <c r="B42" t="s">
        <v>59</v>
      </c>
    </row>
    <row r="43" spans="1:2" x14ac:dyDescent="0.3">
      <c r="A43" s="2" t="s">
        <v>4</v>
      </c>
      <c r="B43">
        <v>1</v>
      </c>
    </row>
    <row r="44" spans="1:2" x14ac:dyDescent="0.3">
      <c r="A44" s="2" t="s">
        <v>5</v>
      </c>
      <c r="B44">
        <v>1</v>
      </c>
    </row>
    <row r="45" spans="1:2" x14ac:dyDescent="0.3">
      <c r="A45" s="2" t="s">
        <v>8</v>
      </c>
      <c r="B45">
        <v>1</v>
      </c>
    </row>
    <row r="46" spans="1:2" x14ac:dyDescent="0.3">
      <c r="A46" s="2" t="s">
        <v>9</v>
      </c>
      <c r="B46">
        <v>1</v>
      </c>
    </row>
    <row r="47" spans="1:2" x14ac:dyDescent="0.3">
      <c r="A47" s="2" t="s">
        <v>10</v>
      </c>
      <c r="B47">
        <v>1</v>
      </c>
    </row>
    <row r="48" spans="1:2" x14ac:dyDescent="0.3">
      <c r="A48" s="2" t="s">
        <v>1</v>
      </c>
      <c r="B48">
        <v>5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ADE8-DC9B-4B2D-9778-894776D997DC}">
  <dimension ref="A1:B34"/>
  <sheetViews>
    <sheetView zoomScale="78" zoomScaleNormal="78" workbookViewId="0">
      <selection activeCell="E41" sqref="E41"/>
    </sheetView>
  </sheetViews>
  <sheetFormatPr defaultRowHeight="14.4" x14ac:dyDescent="0.3"/>
  <cols>
    <col min="1" max="1" width="12.5546875" bestFit="1" customWidth="1"/>
    <col min="2" max="2" width="41.6640625" bestFit="1" customWidth="1"/>
    <col min="3" max="3" width="32.5546875" bestFit="1" customWidth="1"/>
    <col min="4" max="4" width="27.33203125" bestFit="1" customWidth="1"/>
    <col min="11" max="11" width="12.5546875" bestFit="1" customWidth="1"/>
    <col min="12" max="12" width="25.44140625" bestFit="1" customWidth="1"/>
  </cols>
  <sheetData>
    <row r="1" spans="1:2" x14ac:dyDescent="0.3">
      <c r="A1" s="1" t="s">
        <v>0</v>
      </c>
      <c r="B1" t="s">
        <v>73</v>
      </c>
    </row>
    <row r="2" spans="1:2" x14ac:dyDescent="0.3">
      <c r="A2" s="2" t="s">
        <v>12</v>
      </c>
      <c r="B2">
        <v>185000</v>
      </c>
    </row>
    <row r="3" spans="1:2" x14ac:dyDescent="0.3">
      <c r="A3" s="2" t="s">
        <v>8</v>
      </c>
      <c r="B3">
        <v>390000</v>
      </c>
    </row>
    <row r="4" spans="1:2" x14ac:dyDescent="0.3">
      <c r="A4" s="2" t="s">
        <v>9</v>
      </c>
      <c r="B4">
        <v>484856</v>
      </c>
    </row>
    <row r="5" spans="1:2" x14ac:dyDescent="0.3">
      <c r="A5" s="2" t="s">
        <v>10</v>
      </c>
      <c r="B5">
        <v>609133</v>
      </c>
    </row>
    <row r="6" spans="1:2" x14ac:dyDescent="0.3">
      <c r="A6" s="2" t="s">
        <v>1</v>
      </c>
      <c r="B6">
        <v>1668989</v>
      </c>
    </row>
    <row r="8" spans="1:2" x14ac:dyDescent="0.3">
      <c r="A8" s="1" t="s">
        <v>0</v>
      </c>
      <c r="B8" t="s">
        <v>74</v>
      </c>
    </row>
    <row r="9" spans="1:2" x14ac:dyDescent="0.3">
      <c r="A9" s="2" t="s">
        <v>12</v>
      </c>
      <c r="B9">
        <v>1</v>
      </c>
    </row>
    <row r="10" spans="1:2" x14ac:dyDescent="0.3">
      <c r="A10" s="2" t="s">
        <v>8</v>
      </c>
      <c r="B10">
        <v>1</v>
      </c>
    </row>
    <row r="11" spans="1:2" x14ac:dyDescent="0.3">
      <c r="A11" s="2" t="s">
        <v>9</v>
      </c>
      <c r="B11">
        <v>1</v>
      </c>
    </row>
    <row r="12" spans="1:2" x14ac:dyDescent="0.3">
      <c r="A12" s="2" t="s">
        <v>10</v>
      </c>
      <c r="B12">
        <v>1</v>
      </c>
    </row>
    <row r="13" spans="1:2" x14ac:dyDescent="0.3">
      <c r="A13" s="2" t="s">
        <v>1</v>
      </c>
      <c r="B13">
        <v>4</v>
      </c>
    </row>
    <row r="15" spans="1:2" x14ac:dyDescent="0.3">
      <c r="A15" s="1" t="s">
        <v>0</v>
      </c>
      <c r="B15" t="s">
        <v>75</v>
      </c>
    </row>
    <row r="16" spans="1:2" x14ac:dyDescent="0.3">
      <c r="A16" s="2" t="s">
        <v>12</v>
      </c>
      <c r="B16">
        <v>0.12</v>
      </c>
    </row>
    <row r="17" spans="1:2" x14ac:dyDescent="0.3">
      <c r="A17" s="2" t="s">
        <v>8</v>
      </c>
      <c r="B17">
        <v>0.14000000000000001</v>
      </c>
    </row>
    <row r="18" spans="1:2" x14ac:dyDescent="0.3">
      <c r="A18" s="2" t="s">
        <v>9</v>
      </c>
      <c r="B18">
        <v>0.158</v>
      </c>
    </row>
    <row r="19" spans="1:2" x14ac:dyDescent="0.3">
      <c r="A19" s="2" t="s">
        <v>10</v>
      </c>
      <c r="B19">
        <v>0.16500000000000001</v>
      </c>
    </row>
    <row r="20" spans="1:2" x14ac:dyDescent="0.3">
      <c r="A20" s="2" t="s">
        <v>1</v>
      </c>
      <c r="B20">
        <v>0.58300000000000007</v>
      </c>
    </row>
    <row r="22" spans="1:2" x14ac:dyDescent="0.3">
      <c r="A22" s="1" t="s">
        <v>0</v>
      </c>
      <c r="B22" t="s">
        <v>76</v>
      </c>
    </row>
    <row r="23" spans="1:2" x14ac:dyDescent="0.3">
      <c r="A23" s="2" t="s">
        <v>12</v>
      </c>
      <c r="B23">
        <v>0.48</v>
      </c>
    </row>
    <row r="24" spans="1:2" x14ac:dyDescent="0.3">
      <c r="A24" s="2" t="s">
        <v>8</v>
      </c>
      <c r="B24">
        <v>0.7</v>
      </c>
    </row>
    <row r="25" spans="1:2" x14ac:dyDescent="0.3">
      <c r="A25" s="2" t="s">
        <v>9</v>
      </c>
      <c r="B25">
        <v>0.85</v>
      </c>
    </row>
    <row r="26" spans="1:2" x14ac:dyDescent="0.3">
      <c r="A26" s="2" t="s">
        <v>10</v>
      </c>
      <c r="B26">
        <v>0.9</v>
      </c>
    </row>
    <row r="27" spans="1:2" x14ac:dyDescent="0.3">
      <c r="A27" s="2" t="s">
        <v>1</v>
      </c>
      <c r="B27">
        <v>2.9299999999999997</v>
      </c>
    </row>
    <row r="29" spans="1:2" x14ac:dyDescent="0.3">
      <c r="A29" s="1" t="s">
        <v>0</v>
      </c>
      <c r="B29" t="s">
        <v>77</v>
      </c>
    </row>
    <row r="30" spans="1:2" x14ac:dyDescent="0.3">
      <c r="A30" s="2" t="s">
        <v>12</v>
      </c>
      <c r="B30">
        <v>0.12</v>
      </c>
    </row>
    <row r="31" spans="1:2" x14ac:dyDescent="0.3">
      <c r="A31" s="2" t="s">
        <v>8</v>
      </c>
      <c r="B31">
        <v>0.15</v>
      </c>
    </row>
    <row r="32" spans="1:2" x14ac:dyDescent="0.3">
      <c r="A32" s="2" t="s">
        <v>9</v>
      </c>
      <c r="B32">
        <v>0.17</v>
      </c>
    </row>
    <row r="33" spans="1:2" x14ac:dyDescent="0.3">
      <c r="A33" s="2" t="s">
        <v>10</v>
      </c>
      <c r="B33">
        <v>0.185</v>
      </c>
    </row>
    <row r="34" spans="1:2" x14ac:dyDescent="0.3">
      <c r="A34" s="2" t="s">
        <v>1</v>
      </c>
      <c r="B34">
        <v>0.625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Hindenburg Data (Case Study)</vt:lpstr>
      <vt:lpstr>Cash Flow Analysis</vt:lpstr>
      <vt:lpstr>Balance Sheet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Prasam Kundu</dc:creator>
  <cp:lastModifiedBy>Indraditya Bhattacharyya</cp:lastModifiedBy>
  <dcterms:created xsi:type="dcterms:W3CDTF">2026-07-07T10:03:19Z</dcterms:created>
  <dcterms:modified xsi:type="dcterms:W3CDTF">2026-10-11T12:46:45Z</dcterms:modified>
</cp:coreProperties>
</file>